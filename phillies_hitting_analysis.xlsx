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in\Desktop\"/>
    </mc:Choice>
  </mc:AlternateContent>
  <xr:revisionPtr revIDLastSave="0" documentId="8_{F99BD652-C55B-458D-AF53-E6C5D2FABF48}" xr6:coauthVersionLast="47" xr6:coauthVersionMax="47" xr10:uidLastSave="{00000000-0000-0000-0000-000000000000}"/>
  <bookViews>
    <workbookView xWindow="495" yWindow="390" windowWidth="12405" windowHeight="7785" activeTab="3" xr2:uid="{00000000-000D-0000-FFFF-FFFF00000000}"/>
  </bookViews>
  <sheets>
    <sheet name="FG 2025 Phillies Hitters" sheetId="1" r:id="rId1"/>
    <sheet name="Core Hitters PA&gt;=100" sheetId="2" r:id="rId2"/>
    <sheet name="README + Insights" sheetId="3" r:id="rId3"/>
    <sheet name="Source" sheetId="4" r:id="rId4"/>
  </sheets>
  <definedNames>
    <definedName name="_xlnm._FilterDatabase" localSheetId="0" hidden="1">'FG 2025 Phillies Hitters'!$A$4:$T$24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26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<sst xmlns="http://schemas.openxmlformats.org/spreadsheetml/2006/main" count="85" uniqueCount="50">
  <si>
    <t>2025 Philadelphia Phillies Hitting Analysis</t>
  </si>
  <si>
    <t>Source: FanGraphs 2025 Philadelphia Phillies Team Stats page — Batting Stats Leaders</t>
  </si>
  <si>
    <t>Name</t>
  </si>
  <si>
    <t>Age</t>
  </si>
  <si>
    <t>G</t>
  </si>
  <si>
    <t>PA</t>
  </si>
  <si>
    <t>HR</t>
  </si>
  <si>
    <t>SB</t>
  </si>
  <si>
    <t>BB%</t>
  </si>
  <si>
    <t>K%</t>
  </si>
  <si>
    <t>ISO</t>
  </si>
  <si>
    <t>BABIP</t>
  </si>
  <si>
    <t>AVG</t>
  </si>
  <si>
    <t>OBP</t>
  </si>
  <si>
    <t>SLG</t>
  </si>
  <si>
    <t>OPS</t>
  </si>
  <si>
    <t>wOBA</t>
  </si>
  <si>
    <t>wRC+</t>
  </si>
  <si>
    <t>BsR</t>
  </si>
  <si>
    <t>Off</t>
  </si>
  <si>
    <t>Def</t>
  </si>
  <si>
    <t>WAR</t>
  </si>
  <si>
    <t>Trea Turner</t>
  </si>
  <si>
    <t>Kyle Schwarber</t>
  </si>
  <si>
    <t>Bryce Harper</t>
  </si>
  <si>
    <t>Bryson Stott</t>
  </si>
  <si>
    <t>Brandon Marsh</t>
  </si>
  <si>
    <t>J.T. Realmuto</t>
  </si>
  <si>
    <t>Alec Bohm</t>
  </si>
  <si>
    <t>Edmundo Sosa</t>
  </si>
  <si>
    <t>Harrison Bader</t>
  </si>
  <si>
    <t>Max Kepler</t>
  </si>
  <si>
    <t>Johan Rojas</t>
  </si>
  <si>
    <t>Rafael Marchan</t>
  </si>
  <si>
    <t>Garrett Stubbs</t>
  </si>
  <si>
    <t>Cal Stevenson</t>
  </si>
  <si>
    <t>Kody Clemens</t>
  </si>
  <si>
    <t>Buddy Kennedy</t>
  </si>
  <si>
    <t>Donovan Walton</t>
  </si>
  <si>
    <t>Otto Kemp</t>
  </si>
  <si>
    <t>Weston Wilson</t>
  </si>
  <si>
    <t>Nick Castellanos</t>
  </si>
  <si>
    <t>Team Total</t>
  </si>
  <si>
    <t>Phillies Hitting Analysis (2025)</t>
  </si>
  <si>
    <t xml:space="preserve"># Phillies Hitting Analysis (2025)
This project analyzes the Philadelphia Phillies' 2025 offense using the FanGraphs team stats page.
## Research Question
Which Phillies hitters created the most offensive value, and was that value driven more by power, plate discipline, or all-around production?
## Data Source
FanGraphs 2025 Philadelphia Phillies Team Stats page:
https://www.fangraphs.com/teams/phillies/stats?season=2025
## Metrics Used
- OPS
- wRC+
- ISO
- BB%
- K%
- WAR
- OBP
- SLG
## Charts Created
- OPS by player
- wRC+ by player
- ISO by player
- WAR by player
- ISO vs OPS
- BB% vs K%
## Key Takeaways
- Kyle Schwarber led the Phillies in home runs, ISO, OPS, and wRC+, showing how much of his offensive value came from elite power.
- Trea Turner led the team in WAR because his value came from a more complete profile, including baserunning, defense, and above-average offense.
- Bryce Harper remained one of the top overall hitters through strong OBP, SLG, OPS, and wRC+.
- ISO vs OPS helps show how much power contributed to overall offensive production.
- BB% and K% help compare each hitter's plate discipline profile.
## Future Improvements
- Add Baseball Savant contact-quality metrics like HardHit%, Barrel%, and xwOBA.
- Rebuild the project in SQL.
- Turn the analysis into a Power BI dashboard.
</t>
  </si>
  <si>
    <t>Source URL</t>
  </si>
  <si>
    <t>https://www.fangraphs.com/teams/phillies/stats?season=2025</t>
  </si>
  <si>
    <t>Notes</t>
  </si>
  <si>
    <t>Data is transcribed from FanGraphs 2025 Philadelphia Phillies Team Stats page, Batting Stats Leaders table.</t>
  </si>
  <si>
    <t>OPS is calculated in this workbook as OBP + SLG because the FanGraphs table provides OBP and SLG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</si>
</sst>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008000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A0019"/>
      </patternFill>
    </fill>
    <fill>
      <patternFill patternType="solid">
        <fgColor rgb="FF404040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OPS by Phillies Hitter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'Core Hitters PA&gt;=100'!$N$1</c:f>
              <c:strCache>
                <c:ptCount val="1"/>
                <c:pt idx="0">
                  <c:v>OPS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'Core Hitters PA&gt;=100'!$A$2:$A$16</c:f>
              <c:strCache>
                <c:ptCount val="15"/>
                <c:pt idx="0">
                  <c:v>Trea Turner</c:v>
                </c:pt>
                <c:pt idx="1">
                  <c:v>Kyle Schwarber</c:v>
                </c:pt>
                <c:pt idx="2">
                  <c:v>Bryce Harper</c:v>
                </c:pt>
                <c:pt idx="3">
                  <c:v>Bryson Stott</c:v>
                </c:pt>
                <c:pt idx="4">
                  <c:v>Brandon Marsh</c:v>
                </c:pt>
                <c:pt idx="5">
                  <c:v>J.T. Realmuto</c:v>
                </c:pt>
                <c:pt idx="6">
                  <c:v>Alec Bohm</c:v>
                </c:pt>
                <c:pt idx="7">
                  <c:v>Edmundo Sosa</c:v>
                </c:pt>
                <c:pt idx="8">
                  <c:v>Harrison Bader</c:v>
                </c:pt>
                <c:pt idx="9">
                  <c:v>Max Kepler</c:v>
                </c:pt>
                <c:pt idx="10">
                  <c:v>Johan Rojas</c:v>
                </c:pt>
                <c:pt idx="11">
                  <c:v>Rafael Marchan</c:v>
                </c:pt>
                <c:pt idx="12">
                  <c:v>Otto Kemp</c:v>
                </c:pt>
                <c:pt idx="13">
                  <c:v>Weston Wilson</c:v>
                </c:pt>
                <c:pt idx="14">
                  <c:v>Nick Castellanos</c:v>
                </c:pt>
              </c:strCache>
            </c:strRef>
          </c:cat>
          <c:val>
            <c:numRef>
              <c:f>'Core Hitters PA&gt;=100'!$N$2:$N$16</c:f>
              <c:numCache>
                <c:formatCode>0.000</c:formatCode>
                <c:ptCount val="15"/>
                <c:pt idx="0">
                  <c:v>0.81200000000000006</c:v>
                </c:pt>
                <c:pt idx="1">
                  <c:v>0.92799999999999994</c:v>
                </c:pt>
                <c:pt idx="2">
                  <c:v>0.84399999999999997</c:v>
                </c:pt>
                <c:pt idx="3">
                  <c:v>0.71900000000000008</c:v>
                </c:pt>
                <c:pt idx="4">
                  <c:v>0.78500000000000003</c:v>
                </c:pt>
                <c:pt idx="5">
                  <c:v>0.69900000000000007</c:v>
                </c:pt>
                <c:pt idx="6">
                  <c:v>0.74</c:v>
                </c:pt>
                <c:pt idx="7">
                  <c:v>0.77600000000000002</c:v>
                </c:pt>
                <c:pt idx="8">
                  <c:v>0.82400000000000007</c:v>
                </c:pt>
                <c:pt idx="9">
                  <c:v>0.69100000000000006</c:v>
                </c:pt>
                <c:pt idx="10">
                  <c:v>0.56899999999999995</c:v>
                </c:pt>
                <c:pt idx="11">
                  <c:v>0.58699999999999997</c:v>
                </c:pt>
                <c:pt idx="12">
                  <c:v>0.70899999999999996</c:v>
                </c:pt>
                <c:pt idx="13">
                  <c:v>0.65100000000000002</c:v>
                </c:pt>
                <c:pt idx="14">
                  <c:v>0.69399999999999995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E-4C96-AC7A-AD334834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wRC+ by Phillies Hitter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'Core Hitters PA&gt;=100'!$P$1</c:f>
              <c:strCache>
                <c:ptCount val="1"/>
                <c:pt idx="0">
                  <c:v>wRC+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'Core Hitters PA&gt;=100'!$A$2:$A$16</c:f>
              <c:strCache>
                <c:ptCount val="15"/>
                <c:pt idx="0">
                  <c:v>Trea Turner</c:v>
                </c:pt>
                <c:pt idx="1">
                  <c:v>Kyle Schwarber</c:v>
                </c:pt>
                <c:pt idx="2">
                  <c:v>Bryce Harper</c:v>
                </c:pt>
                <c:pt idx="3">
                  <c:v>Bryson Stott</c:v>
                </c:pt>
                <c:pt idx="4">
                  <c:v>Brandon Marsh</c:v>
                </c:pt>
                <c:pt idx="5">
                  <c:v>J.T. Realmuto</c:v>
                </c:pt>
                <c:pt idx="6">
                  <c:v>Alec Bohm</c:v>
                </c:pt>
                <c:pt idx="7">
                  <c:v>Edmundo Sosa</c:v>
                </c:pt>
                <c:pt idx="8">
                  <c:v>Harrison Bader</c:v>
                </c:pt>
                <c:pt idx="9">
                  <c:v>Max Kepler</c:v>
                </c:pt>
                <c:pt idx="10">
                  <c:v>Johan Rojas</c:v>
                </c:pt>
                <c:pt idx="11">
                  <c:v>Rafael Marchan</c:v>
                </c:pt>
                <c:pt idx="12">
                  <c:v>Otto Kemp</c:v>
                </c:pt>
                <c:pt idx="13">
                  <c:v>Weston Wilson</c:v>
                </c:pt>
                <c:pt idx="14">
                  <c:v>Nick Castellanos</c:v>
                </c:pt>
              </c:strCache>
            </c:strRef>
          </c:cat>
          <c:val>
            <c:numRef>
              <c:f>'Core Hitters PA&gt;=100'!$P$2:$P$16</c:f>
              <c:numCache>
                <c:formatCode>General</c:formatCode>
                <c:ptCount val="15"/>
                <c:pt idx="0">
                  <c:v>125</c:v>
                </c:pt>
                <c:pt idx="1">
                  <c:v>152</c:v>
                </c:pt>
                <c:pt idx="2">
                  <c:v>131</c:v>
                </c:pt>
                <c:pt idx="3">
                  <c:v>100</c:v>
                </c:pt>
                <c:pt idx="4">
                  <c:v>116</c:v>
                </c:pt>
                <c:pt idx="5">
                  <c:v>94</c:v>
                </c:pt>
                <c:pt idx="6">
                  <c:v>105</c:v>
                </c:pt>
                <c:pt idx="7">
                  <c:v>111</c:v>
                </c:pt>
                <c:pt idx="8">
                  <c:v>129</c:v>
                </c:pt>
                <c:pt idx="9">
                  <c:v>90</c:v>
                </c:pt>
                <c:pt idx="10">
                  <c:v>58</c:v>
                </c:pt>
                <c:pt idx="11">
                  <c:v>65</c:v>
                </c:pt>
                <c:pt idx="12">
                  <c:v>95</c:v>
                </c:pt>
                <c:pt idx="13">
                  <c:v>81</c:v>
                </c:pt>
                <c:pt idx="1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8-4BD9-ADB3-C3F4CF6A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wRC+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ISO by Phillies Hitter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'Core Hitters PA&gt;=100'!$I$1</c:f>
              <c:strCache>
                <c:ptCount val="1"/>
                <c:pt idx="0">
                  <c:v>ISO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'Core Hitters PA&gt;=100'!$A$2:$A$16</c:f>
              <c:strCache>
                <c:ptCount val="15"/>
                <c:pt idx="0">
                  <c:v>Trea Turner</c:v>
                </c:pt>
                <c:pt idx="1">
                  <c:v>Kyle Schwarber</c:v>
                </c:pt>
                <c:pt idx="2">
                  <c:v>Bryce Harper</c:v>
                </c:pt>
                <c:pt idx="3">
                  <c:v>Bryson Stott</c:v>
                </c:pt>
                <c:pt idx="4">
                  <c:v>Brandon Marsh</c:v>
                </c:pt>
                <c:pt idx="5">
                  <c:v>J.T. Realmuto</c:v>
                </c:pt>
                <c:pt idx="6">
                  <c:v>Alec Bohm</c:v>
                </c:pt>
                <c:pt idx="7">
                  <c:v>Edmundo Sosa</c:v>
                </c:pt>
                <c:pt idx="8">
                  <c:v>Harrison Bader</c:v>
                </c:pt>
                <c:pt idx="9">
                  <c:v>Max Kepler</c:v>
                </c:pt>
                <c:pt idx="10">
                  <c:v>Johan Rojas</c:v>
                </c:pt>
                <c:pt idx="11">
                  <c:v>Rafael Marchan</c:v>
                </c:pt>
                <c:pt idx="12">
                  <c:v>Otto Kemp</c:v>
                </c:pt>
                <c:pt idx="13">
                  <c:v>Weston Wilson</c:v>
                </c:pt>
                <c:pt idx="14">
                  <c:v>Nick Castellanos</c:v>
                </c:pt>
              </c:strCache>
            </c:strRef>
          </c:cat>
          <c:val>
            <c:numRef>
              <c:f>'Core Hitters PA&gt;=100'!$I$2:$I$16</c:f>
              <c:numCache>
                <c:formatCode>0.000</c:formatCode>
                <c:ptCount val="15"/>
                <c:pt idx="0">
                  <c:v>0.153</c:v>
                </c:pt>
                <c:pt idx="1">
                  <c:v>0.32300000000000001</c:v>
                </c:pt>
                <c:pt idx="2">
                  <c:v>0.22600000000000001</c:v>
                </c:pt>
                <c:pt idx="3">
                  <c:v>0.13400000000000001</c:v>
                </c:pt>
                <c:pt idx="4">
                  <c:v>0.16400000000000001</c:v>
                </c:pt>
                <c:pt idx="5">
                  <c:v>0.127</c:v>
                </c:pt>
                <c:pt idx="6">
                  <c:v>0.123</c:v>
                </c:pt>
                <c:pt idx="7">
                  <c:v>0.193</c:v>
                </c:pt>
                <c:pt idx="8">
                  <c:v>0.158</c:v>
                </c:pt>
                <c:pt idx="9">
                  <c:v>0.17499999999999999</c:v>
                </c:pt>
                <c:pt idx="10">
                  <c:v>6.6000000000000003E-2</c:v>
                </c:pt>
                <c:pt idx="11">
                  <c:v>9.5000000000000001E-2</c:v>
                </c:pt>
                <c:pt idx="12">
                  <c:v>0.17799999999999999</c:v>
                </c:pt>
                <c:pt idx="13">
                  <c:v>0.17100000000000001</c:v>
                </c:pt>
                <c:pt idx="1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8-400D-90D7-5BA125331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ISO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WAR by Phillies Hitter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'Core Hitters PA&gt;=100'!$T$1</c:f>
              <c:strCache>
                <c:ptCount val="1"/>
                <c:pt idx="0">
                  <c:v>WAR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'Core Hitters PA&gt;=100'!$A$2:$A$16</c:f>
              <c:strCache>
                <c:ptCount val="15"/>
                <c:pt idx="0">
                  <c:v>Trea Turner</c:v>
                </c:pt>
                <c:pt idx="1">
                  <c:v>Kyle Schwarber</c:v>
                </c:pt>
                <c:pt idx="2">
                  <c:v>Bryce Harper</c:v>
                </c:pt>
                <c:pt idx="3">
                  <c:v>Bryson Stott</c:v>
                </c:pt>
                <c:pt idx="4">
                  <c:v>Brandon Marsh</c:v>
                </c:pt>
                <c:pt idx="5">
                  <c:v>J.T. Realmuto</c:v>
                </c:pt>
                <c:pt idx="6">
                  <c:v>Alec Bohm</c:v>
                </c:pt>
                <c:pt idx="7">
                  <c:v>Edmundo Sosa</c:v>
                </c:pt>
                <c:pt idx="8">
                  <c:v>Harrison Bader</c:v>
                </c:pt>
                <c:pt idx="9">
                  <c:v>Max Kepler</c:v>
                </c:pt>
                <c:pt idx="10">
                  <c:v>Johan Rojas</c:v>
                </c:pt>
                <c:pt idx="11">
                  <c:v>Rafael Marchan</c:v>
                </c:pt>
                <c:pt idx="12">
                  <c:v>Otto Kemp</c:v>
                </c:pt>
                <c:pt idx="13">
                  <c:v>Weston Wilson</c:v>
                </c:pt>
                <c:pt idx="14">
                  <c:v>Nick Castellanos</c:v>
                </c:pt>
              </c:strCache>
            </c:strRef>
          </c:cat>
          <c:val>
            <c:numRef>
              <c:f>'Core Hitters PA&gt;=100'!$T$2:$T$16</c:f>
              <c:numCache>
                <c:formatCode>0.0</c:formatCode>
                <c:ptCount val="15"/>
                <c:pt idx="0">
                  <c:v>6.7</c:v>
                </c:pt>
                <c:pt idx="1">
                  <c:v>4.9000000000000004</c:v>
                </c:pt>
                <c:pt idx="2">
                  <c:v>3.5</c:v>
                </c:pt>
                <c:pt idx="3">
                  <c:v>3.1</c:v>
                </c:pt>
                <c:pt idx="4">
                  <c:v>2.4</c:v>
                </c:pt>
                <c:pt idx="5">
                  <c:v>2.1</c:v>
                </c:pt>
                <c:pt idx="6">
                  <c:v>1.7</c:v>
                </c:pt>
                <c:pt idx="7">
                  <c:v>1.6</c:v>
                </c:pt>
                <c:pt idx="8">
                  <c:v>1.2</c:v>
                </c:pt>
                <c:pt idx="9">
                  <c:v>0.6</c:v>
                </c:pt>
                <c:pt idx="10">
                  <c:v>0.4</c:v>
                </c:pt>
                <c:pt idx="11">
                  <c:v>0.3</c:v>
                </c:pt>
                <c:pt idx="12">
                  <c:v>-0.2</c:v>
                </c:pt>
                <c:pt idx="13">
                  <c:v>-0.4</c:v>
                </c:pt>
                <c:pt idx="14">
                  <c:v>-0.6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3-42E6-A8F5-3A6EA6A36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Player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ISO vs OPS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Core Hitters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'Core Hitters PA&gt;=100'!$I$2:$I$16</c:f>
              <c:numCache>
                <c:formatCode>0.000</c:formatCode>
                <c:ptCount val="15"/>
                <c:pt idx="0">
                  <c:v>0.153</c:v>
                </c:pt>
                <c:pt idx="1">
                  <c:v>0.32300000000000001</c:v>
                </c:pt>
                <c:pt idx="2">
                  <c:v>0.22600000000000001</c:v>
                </c:pt>
                <c:pt idx="3">
                  <c:v>0.13400000000000001</c:v>
                </c:pt>
                <c:pt idx="4">
                  <c:v>0.16400000000000001</c:v>
                </c:pt>
                <c:pt idx="5">
                  <c:v>0.127</c:v>
                </c:pt>
                <c:pt idx="6">
                  <c:v>0.123</c:v>
                </c:pt>
                <c:pt idx="7">
                  <c:v>0.193</c:v>
                </c:pt>
                <c:pt idx="8">
                  <c:v>0.158</c:v>
                </c:pt>
                <c:pt idx="9">
                  <c:v>0.17499999999999999</c:v>
                </c:pt>
                <c:pt idx="10">
                  <c:v>6.6000000000000003E-2</c:v>
                </c:pt>
                <c:pt idx="11">
                  <c:v>9.5000000000000001E-2</c:v>
                </c:pt>
                <c:pt idx="12">
                  <c:v>0.17799999999999999</c:v>
                </c:pt>
                <c:pt idx="13">
                  <c:v>0.17100000000000001</c:v>
                </c:pt>
                <c:pt idx="14">
                  <c:v>0.15</c:v>
                </c:pt>
              </c:numCache>
            </c:numRef>
          </c:xVal>
          <c:yVal>
            <c:numRef>
              <c:f>'Core Hitters PA&gt;=100'!$N$2:$N$16</c:f>
              <c:numCache>
                <c:formatCode>0.000</c:formatCode>
                <c:ptCount val="15"/>
                <c:pt idx="0">
                  <c:v>0.81200000000000006</c:v>
                </c:pt>
                <c:pt idx="1">
                  <c:v>0.92799999999999994</c:v>
                </c:pt>
                <c:pt idx="2">
                  <c:v>0.84399999999999997</c:v>
                </c:pt>
                <c:pt idx="3">
                  <c:v>0.71900000000000008</c:v>
                </c:pt>
                <c:pt idx="4">
                  <c:v>0.78500000000000003</c:v>
                </c:pt>
                <c:pt idx="5">
                  <c:v>0.69900000000000007</c:v>
                </c:pt>
                <c:pt idx="6">
                  <c:v>0.74</c:v>
                </c:pt>
                <c:pt idx="7">
                  <c:v>0.77600000000000002</c:v>
                </c:pt>
                <c:pt idx="8">
                  <c:v>0.82400000000000007</c:v>
                </c:pt>
                <c:pt idx="9">
                  <c:v>0.69100000000000006</c:v>
                </c:pt>
                <c:pt idx="10">
                  <c:v>0.56899999999999995</c:v>
                </c:pt>
                <c:pt idx="11">
                  <c:v>0.58699999999999997</c:v>
                </c:pt>
                <c:pt idx="12">
                  <c:v>0.70899999999999996</c:v>
                </c:pt>
                <c:pt idx="13">
                  <c:v>0.65100000000000002</c:v>
                </c:pt>
                <c:pt idx="14">
                  <c:v>0.69399999999999995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35-4919-923C-1E43C167E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ISO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OPS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BB% vs K%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Plate Discipline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'Core Hitters PA&gt;=100'!$G$2:$G$16</c:f>
              <c:numCache>
                <c:formatCode>0.0%</c:formatCode>
                <c:ptCount val="15"/>
                <c:pt idx="0">
                  <c:v>6.7000000000000004E-2</c:v>
                </c:pt>
                <c:pt idx="1">
                  <c:v>0.14899999999999999</c:v>
                </c:pt>
                <c:pt idx="2">
                  <c:v>0.121</c:v>
                </c:pt>
                <c:pt idx="3">
                  <c:v>9.6000000000000002E-2</c:v>
                </c:pt>
                <c:pt idx="4">
                  <c:v>8.8999999999999996E-2</c:v>
                </c:pt>
                <c:pt idx="5">
                  <c:v>6.4000000000000001E-2</c:v>
                </c:pt>
                <c:pt idx="6">
                  <c:v>5.8000000000000003E-2</c:v>
                </c:pt>
                <c:pt idx="7">
                  <c:v>3.7999999999999999E-2</c:v>
                </c:pt>
                <c:pt idx="8">
                  <c:v>6.2E-2</c:v>
                </c:pt>
                <c:pt idx="9">
                  <c:v>0.10100000000000001</c:v>
                </c:pt>
                <c:pt idx="10">
                  <c:v>7.5999999999999998E-2</c:v>
                </c:pt>
                <c:pt idx="11">
                  <c:v>8.5000000000000006E-2</c:v>
                </c:pt>
                <c:pt idx="12">
                  <c:v>5.5E-2</c:v>
                </c:pt>
                <c:pt idx="13">
                  <c:v>9.6000000000000002E-2</c:v>
                </c:pt>
                <c:pt idx="14">
                  <c:v>5.3999999999999999E-2</c:v>
                </c:pt>
              </c:numCache>
            </c:numRef>
          </c:xVal>
          <c:yVal>
            <c:numRef>
              <c:f>'Core Hitters PA&gt;=100'!$H$2:$H$16</c:f>
              <c:numCache>
                <c:formatCode>0.0%</c:formatCode>
                <c:ptCount val="15"/>
                <c:pt idx="0">
                  <c:v>0.16700000000000001</c:v>
                </c:pt>
                <c:pt idx="1">
                  <c:v>0.27200000000000002</c:v>
                </c:pt>
                <c:pt idx="2">
                  <c:v>0.20899999999999999</c:v>
                </c:pt>
                <c:pt idx="3">
                  <c:v>0.16300000000000001</c:v>
                </c:pt>
                <c:pt idx="4">
                  <c:v>0.25900000000000001</c:v>
                </c:pt>
                <c:pt idx="5">
                  <c:v>0.23499999999999999</c:v>
                </c:pt>
                <c:pt idx="6">
                  <c:v>0.16300000000000001</c:v>
                </c:pt>
                <c:pt idx="7">
                  <c:v>0.215</c:v>
                </c:pt>
                <c:pt idx="8">
                  <c:v>0.28399999999999997</c:v>
                </c:pt>
                <c:pt idx="9">
                  <c:v>0.19600000000000001</c:v>
                </c:pt>
                <c:pt idx="10">
                  <c:v>0.23300000000000001</c:v>
                </c:pt>
                <c:pt idx="11">
                  <c:v>0.14399999999999999</c:v>
                </c:pt>
                <c:pt idx="12">
                  <c:v>0.307</c:v>
                </c:pt>
                <c:pt idx="13">
                  <c:v>0.27200000000000002</c:v>
                </c:pt>
                <c:pt idx="14">
                  <c:v>0.22600000000000001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0E-4D89-B31C-F1C45DBF1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BB%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37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21</xdr:col>
      <xdr:colOff>0</xdr:colOff>
      <xdr:row>55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37</xdr:col>
      <xdr:colOff>0</xdr:colOff>
      <xdr:row>1</xdr:row>
      <xdr:rowOff>0</xdr:rowOff>
    </xdr:from>
    <xdr:ext cx="540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37</xdr:col>
      <xdr:colOff>0</xdr:colOff>
      <xdr:row>19</xdr:row>
      <xdr:rowOff>0</xdr:rowOff>
    </xdr:from>
    <xdr:ext cx="540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0" width="12" customWidth="1"/>
  </cols>
  <sheetData>
    <row r="1" spans="1:20" ht="2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4" spans="1:2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</row>
    <row r="5" spans="1:20" x14ac:dyDescent="0.25">
      <c r="A5" s="2" t="s">
        <v>22</v>
      </c>
      <c r="B5" s="2">
        <v>32</v>
      </c>
      <c r="C5" s="2">
        <v>141</v>
      </c>
      <c r="D5" s="2">
        <v>639</v>
      </c>
      <c r="E5" s="2">
        <v>15</v>
      </c>
      <c r="F5" s="2">
        <v>36</v>
      </c>
      <c r="G5" s="3">
        <v>6.7000000000000004E-2</v>
      </c>
      <c r="H5" s="3">
        <v>0.16700000000000001</v>
      </c>
      <c r="I5" s="4">
        <v>0.153</v>
      </c>
      <c r="J5" s="4">
        <v>0.35</v>
      </c>
      <c r="K5" s="4">
        <v>0.30399999999999999</v>
      </c>
      <c r="L5" s="4">
        <v>0.35499999999999998</v>
      </c>
      <c r="M5" s="4">
        <v>0.45700000000000002</v>
      </c>
      <c r="N5" s="4">
        <f t="shared" ref="N5:N24" si="0">L5+M5</f>
        <v>0.81200000000000006</v>
      </c>
      <c r="O5" s="4">
        <v>0.35199999999999998</v>
      </c>
      <c r="P5" s="2">
        <v>125</v>
      </c>
      <c r="Q5" s="5">
        <v>8</v>
      </c>
      <c r="R5" s="5">
        <v>26.8</v>
      </c>
      <c r="S5" s="5">
        <v>17.2</v>
      </c>
      <c r="T5" s="5">
        <v>6.7</v>
      </c>
    </row>
    <row r="6" spans="1:20" x14ac:dyDescent="0.25">
      <c r="A6" s="2" t="s">
        <v>23</v>
      </c>
      <c r="B6" s="2">
        <v>32</v>
      </c>
      <c r="C6" s="2">
        <v>162</v>
      </c>
      <c r="D6" s="2">
        <v>724</v>
      </c>
      <c r="E6" s="2">
        <v>56</v>
      </c>
      <c r="F6" s="2">
        <v>10</v>
      </c>
      <c r="G6" s="3">
        <v>0.14899999999999999</v>
      </c>
      <c r="H6" s="3">
        <v>0.27200000000000002</v>
      </c>
      <c r="I6" s="4">
        <v>0.32300000000000001</v>
      </c>
      <c r="J6" s="4">
        <v>0.253</v>
      </c>
      <c r="K6" s="4">
        <v>0.24</v>
      </c>
      <c r="L6" s="4">
        <v>0.36499999999999999</v>
      </c>
      <c r="M6" s="4">
        <v>0.56299999999999994</v>
      </c>
      <c r="N6" s="4">
        <f t="shared" si="0"/>
        <v>0.92799999999999994</v>
      </c>
      <c r="O6" s="4">
        <v>0.39100000000000001</v>
      </c>
      <c r="P6" s="2">
        <v>152</v>
      </c>
      <c r="Q6" s="5">
        <v>-1.1000000000000001</v>
      </c>
      <c r="R6" s="5">
        <v>43.6</v>
      </c>
      <c r="S6" s="5">
        <v>-19.600000000000001</v>
      </c>
      <c r="T6" s="5">
        <v>4.9000000000000004</v>
      </c>
    </row>
    <row r="7" spans="1:20" x14ac:dyDescent="0.25">
      <c r="A7" s="2" t="s">
        <v>24</v>
      </c>
      <c r="B7" s="2">
        <v>32</v>
      </c>
      <c r="C7" s="2">
        <v>132</v>
      </c>
      <c r="D7" s="2">
        <v>580</v>
      </c>
      <c r="E7" s="2">
        <v>27</v>
      </c>
      <c r="F7" s="2">
        <v>12</v>
      </c>
      <c r="G7" s="3">
        <v>0.121</v>
      </c>
      <c r="H7" s="3">
        <v>0.20899999999999999</v>
      </c>
      <c r="I7" s="4">
        <v>0.22600000000000001</v>
      </c>
      <c r="J7" s="4">
        <v>0.29199999999999998</v>
      </c>
      <c r="K7" s="4">
        <v>0.26100000000000001</v>
      </c>
      <c r="L7" s="4">
        <v>0.35699999999999998</v>
      </c>
      <c r="M7" s="4">
        <v>0.48699999999999999</v>
      </c>
      <c r="N7" s="4">
        <f t="shared" si="0"/>
        <v>0.84399999999999997</v>
      </c>
      <c r="O7" s="4">
        <v>0.36099999999999999</v>
      </c>
      <c r="P7" s="2">
        <v>131</v>
      </c>
      <c r="Q7" s="5">
        <v>1.3</v>
      </c>
      <c r="R7" s="5">
        <v>22.8</v>
      </c>
      <c r="S7" s="5">
        <v>-8.1999999999999993</v>
      </c>
      <c r="T7" s="5">
        <v>3.5</v>
      </c>
    </row>
    <row r="8" spans="1:20" x14ac:dyDescent="0.25">
      <c r="A8" s="2" t="s">
        <v>25</v>
      </c>
      <c r="B8" s="2">
        <v>27</v>
      </c>
      <c r="C8" s="2">
        <v>147</v>
      </c>
      <c r="D8" s="2">
        <v>560</v>
      </c>
      <c r="E8" s="2">
        <v>13</v>
      </c>
      <c r="F8" s="2">
        <v>24</v>
      </c>
      <c r="G8" s="3">
        <v>9.6000000000000002E-2</v>
      </c>
      <c r="H8" s="3">
        <v>0.16300000000000001</v>
      </c>
      <c r="I8" s="4">
        <v>0.13400000000000001</v>
      </c>
      <c r="J8" s="4">
        <v>0.28799999999999998</v>
      </c>
      <c r="K8" s="4">
        <v>0.25700000000000001</v>
      </c>
      <c r="L8" s="4">
        <v>0.32800000000000001</v>
      </c>
      <c r="M8" s="4">
        <v>0.39100000000000001</v>
      </c>
      <c r="N8" s="4">
        <f t="shared" si="0"/>
        <v>0.71900000000000008</v>
      </c>
      <c r="O8" s="4">
        <v>0.315</v>
      </c>
      <c r="P8" s="2">
        <v>100</v>
      </c>
      <c r="Q8" s="5">
        <v>3.8</v>
      </c>
      <c r="R8" s="5">
        <v>3.8</v>
      </c>
      <c r="S8" s="5">
        <v>7.6</v>
      </c>
      <c r="T8" s="5">
        <v>3.1</v>
      </c>
    </row>
    <row r="9" spans="1:20" x14ac:dyDescent="0.25">
      <c r="A9" s="2" t="s">
        <v>26</v>
      </c>
      <c r="B9" s="2">
        <v>27</v>
      </c>
      <c r="C9" s="2">
        <v>133</v>
      </c>
      <c r="D9" s="2">
        <v>425</v>
      </c>
      <c r="E9" s="2">
        <v>11</v>
      </c>
      <c r="F9" s="2">
        <v>7</v>
      </c>
      <c r="G9" s="3">
        <v>8.8999999999999996E-2</v>
      </c>
      <c r="H9" s="3">
        <v>0.25900000000000001</v>
      </c>
      <c r="I9" s="4">
        <v>0.16400000000000001</v>
      </c>
      <c r="J9" s="4">
        <v>0.36299999999999999</v>
      </c>
      <c r="K9" s="4">
        <v>0.28000000000000003</v>
      </c>
      <c r="L9" s="4">
        <v>0.34200000000000003</v>
      </c>
      <c r="M9" s="4">
        <v>0.443</v>
      </c>
      <c r="N9" s="4">
        <f t="shared" si="0"/>
        <v>0.78500000000000003</v>
      </c>
      <c r="O9" s="4">
        <v>0.33900000000000002</v>
      </c>
      <c r="P9" s="2">
        <v>116</v>
      </c>
      <c r="Q9" s="5">
        <v>2.6</v>
      </c>
      <c r="R9" s="5">
        <v>10.9</v>
      </c>
      <c r="S9" s="5">
        <v>-1.3</v>
      </c>
      <c r="T9" s="5">
        <v>2.4</v>
      </c>
    </row>
    <row r="10" spans="1:20" x14ac:dyDescent="0.25">
      <c r="A10" s="2" t="s">
        <v>27</v>
      </c>
      <c r="B10" s="2">
        <v>34</v>
      </c>
      <c r="C10" s="2">
        <v>134</v>
      </c>
      <c r="D10" s="2">
        <v>550</v>
      </c>
      <c r="E10" s="2">
        <v>12</v>
      </c>
      <c r="F10" s="2">
        <v>8</v>
      </c>
      <c r="G10" s="3">
        <v>6.4000000000000001E-2</v>
      </c>
      <c r="H10" s="3">
        <v>0.23499999999999999</v>
      </c>
      <c r="I10" s="4">
        <v>0.127</v>
      </c>
      <c r="J10" s="4">
        <v>0.32100000000000001</v>
      </c>
      <c r="K10" s="4">
        <v>0.25700000000000001</v>
      </c>
      <c r="L10" s="4">
        <v>0.315</v>
      </c>
      <c r="M10" s="4">
        <v>0.38400000000000001</v>
      </c>
      <c r="N10" s="4">
        <f t="shared" si="0"/>
        <v>0.69900000000000007</v>
      </c>
      <c r="O10" s="4">
        <v>0.307</v>
      </c>
      <c r="P10" s="2">
        <v>94</v>
      </c>
      <c r="Q10" s="5">
        <v>0.7</v>
      </c>
      <c r="R10" s="5">
        <v>-3.2</v>
      </c>
      <c r="S10" s="5">
        <v>5.2</v>
      </c>
      <c r="T10" s="5">
        <v>2.1</v>
      </c>
    </row>
    <row r="11" spans="1:20" x14ac:dyDescent="0.25">
      <c r="A11" s="2" t="s">
        <v>28</v>
      </c>
      <c r="B11" s="2">
        <v>28</v>
      </c>
      <c r="C11" s="2">
        <v>120</v>
      </c>
      <c r="D11" s="2">
        <v>504</v>
      </c>
      <c r="E11" s="2">
        <v>11</v>
      </c>
      <c r="F11" s="2">
        <v>2</v>
      </c>
      <c r="G11" s="3">
        <v>5.8000000000000003E-2</v>
      </c>
      <c r="H11" s="3">
        <v>0.16300000000000001</v>
      </c>
      <c r="I11" s="4">
        <v>0.123</v>
      </c>
      <c r="J11" s="4">
        <v>0.32400000000000001</v>
      </c>
      <c r="K11" s="4">
        <v>0.28699999999999998</v>
      </c>
      <c r="L11" s="4">
        <v>0.33100000000000002</v>
      </c>
      <c r="M11" s="4">
        <v>0.40899999999999997</v>
      </c>
      <c r="N11" s="4">
        <f t="shared" si="0"/>
        <v>0.74</v>
      </c>
      <c r="O11" s="4">
        <v>0.32200000000000001</v>
      </c>
      <c r="P11" s="2">
        <v>105</v>
      </c>
      <c r="Q11" s="5">
        <v>-2.8</v>
      </c>
      <c r="R11" s="5">
        <v>0.1</v>
      </c>
      <c r="S11" s="5">
        <v>0.2</v>
      </c>
      <c r="T11" s="5">
        <v>1.7</v>
      </c>
    </row>
    <row r="12" spans="1:20" x14ac:dyDescent="0.25">
      <c r="A12" s="2" t="s">
        <v>29</v>
      </c>
      <c r="B12" s="2">
        <v>29</v>
      </c>
      <c r="C12" s="2">
        <v>89</v>
      </c>
      <c r="D12" s="2">
        <v>261</v>
      </c>
      <c r="E12" s="2">
        <v>11</v>
      </c>
      <c r="F12" s="2">
        <v>1</v>
      </c>
      <c r="G12" s="3">
        <v>3.7999999999999999E-2</v>
      </c>
      <c r="H12" s="3">
        <v>0.215</v>
      </c>
      <c r="I12" s="4">
        <v>0.193</v>
      </c>
      <c r="J12" s="4">
        <v>0.315</v>
      </c>
      <c r="K12" s="4">
        <v>0.27600000000000002</v>
      </c>
      <c r="L12" s="4">
        <v>0.307</v>
      </c>
      <c r="M12" s="4">
        <v>0.46899999999999997</v>
      </c>
      <c r="N12" s="4">
        <f t="shared" si="0"/>
        <v>0.77600000000000002</v>
      </c>
      <c r="O12" s="4">
        <v>0.33200000000000002</v>
      </c>
      <c r="P12" s="2">
        <v>111</v>
      </c>
      <c r="Q12" s="5">
        <v>-1.1000000000000001</v>
      </c>
      <c r="R12" s="5">
        <v>2.5</v>
      </c>
      <c r="S12" s="5">
        <v>4.7</v>
      </c>
      <c r="T12" s="5">
        <v>1.6</v>
      </c>
    </row>
    <row r="13" spans="1:20" x14ac:dyDescent="0.25">
      <c r="A13" s="2" t="s">
        <v>30</v>
      </c>
      <c r="B13" s="2">
        <v>31</v>
      </c>
      <c r="C13" s="2">
        <v>50</v>
      </c>
      <c r="D13" s="2">
        <v>194</v>
      </c>
      <c r="E13" s="2">
        <v>5</v>
      </c>
      <c r="F13" s="2">
        <v>1</v>
      </c>
      <c r="G13" s="3">
        <v>6.2E-2</v>
      </c>
      <c r="H13" s="3">
        <v>0.28399999999999997</v>
      </c>
      <c r="I13" s="4">
        <v>0.158</v>
      </c>
      <c r="J13" s="4">
        <v>0.41499999999999998</v>
      </c>
      <c r="K13" s="4">
        <v>0.30499999999999999</v>
      </c>
      <c r="L13" s="4">
        <v>0.36099999999999999</v>
      </c>
      <c r="M13" s="4">
        <v>0.46300000000000002</v>
      </c>
      <c r="N13" s="4">
        <f t="shared" si="0"/>
        <v>0.82400000000000007</v>
      </c>
      <c r="O13" s="4">
        <v>0.35799999999999998</v>
      </c>
      <c r="P13" s="2">
        <v>129</v>
      </c>
      <c r="Q13" s="5">
        <v>-1.3</v>
      </c>
      <c r="R13" s="5">
        <v>5.4</v>
      </c>
      <c r="S13" s="5">
        <v>-0.1</v>
      </c>
      <c r="T13" s="5">
        <v>1.2</v>
      </c>
    </row>
    <row r="14" spans="1:20" x14ac:dyDescent="0.25">
      <c r="A14" s="2" t="s">
        <v>31</v>
      </c>
      <c r="B14" s="2">
        <v>32</v>
      </c>
      <c r="C14" s="2">
        <v>127</v>
      </c>
      <c r="D14" s="2">
        <v>474</v>
      </c>
      <c r="E14" s="2">
        <v>18</v>
      </c>
      <c r="F14" s="2">
        <v>3</v>
      </c>
      <c r="G14" s="3">
        <v>0.10100000000000001</v>
      </c>
      <c r="H14" s="3">
        <v>0.19600000000000001</v>
      </c>
      <c r="I14" s="4">
        <v>0.17499999999999999</v>
      </c>
      <c r="J14" s="4">
        <v>0.23200000000000001</v>
      </c>
      <c r="K14" s="4">
        <v>0.216</v>
      </c>
      <c r="L14" s="4">
        <v>0.3</v>
      </c>
      <c r="M14" s="4">
        <v>0.39100000000000001</v>
      </c>
      <c r="N14" s="4">
        <f t="shared" si="0"/>
        <v>0.69100000000000006</v>
      </c>
      <c r="O14" s="4">
        <v>0.3</v>
      </c>
      <c r="P14" s="2">
        <v>90</v>
      </c>
      <c r="Q14" s="5">
        <v>0.6</v>
      </c>
      <c r="R14" s="5">
        <v>-5.0999999999999996</v>
      </c>
      <c r="S14" s="5">
        <v>-4.7</v>
      </c>
      <c r="T14" s="5">
        <v>0.6</v>
      </c>
    </row>
    <row r="15" spans="1:20" x14ac:dyDescent="0.25">
      <c r="A15" s="2" t="s">
        <v>32</v>
      </c>
      <c r="B15" s="2">
        <v>24</v>
      </c>
      <c r="C15" s="2">
        <v>71</v>
      </c>
      <c r="D15" s="2">
        <v>172</v>
      </c>
      <c r="E15" s="2">
        <v>1</v>
      </c>
      <c r="F15" s="2">
        <v>12</v>
      </c>
      <c r="G15" s="3">
        <v>7.5999999999999998E-2</v>
      </c>
      <c r="H15" s="3">
        <v>0.23300000000000001</v>
      </c>
      <c r="I15" s="4">
        <v>6.6000000000000003E-2</v>
      </c>
      <c r="J15" s="4">
        <v>0.28899999999999998</v>
      </c>
      <c r="K15" s="4">
        <v>0.224</v>
      </c>
      <c r="L15" s="4">
        <v>0.28000000000000003</v>
      </c>
      <c r="M15" s="4">
        <v>0.28899999999999998</v>
      </c>
      <c r="N15" s="4">
        <f t="shared" si="0"/>
        <v>0.56899999999999995</v>
      </c>
      <c r="O15" s="4">
        <v>0.254</v>
      </c>
      <c r="P15" s="2">
        <v>58</v>
      </c>
      <c r="Q15" s="5">
        <v>2</v>
      </c>
      <c r="R15" s="5">
        <v>-6.6</v>
      </c>
      <c r="S15" s="5">
        <v>5.0999999999999996</v>
      </c>
      <c r="T15" s="5">
        <v>0.4</v>
      </c>
    </row>
    <row r="16" spans="1:20" x14ac:dyDescent="0.25">
      <c r="A16" s="2" t="s">
        <v>33</v>
      </c>
      <c r="B16" s="2">
        <v>26</v>
      </c>
      <c r="C16" s="2">
        <v>42</v>
      </c>
      <c r="D16" s="2">
        <v>118</v>
      </c>
      <c r="E16" s="2">
        <v>2</v>
      </c>
      <c r="F16" s="2">
        <v>0</v>
      </c>
      <c r="G16" s="3">
        <v>8.5000000000000006E-2</v>
      </c>
      <c r="H16" s="3">
        <v>0.14399999999999999</v>
      </c>
      <c r="I16" s="4">
        <v>9.5000000000000001E-2</v>
      </c>
      <c r="J16" s="4">
        <v>0.23</v>
      </c>
      <c r="K16" s="4">
        <v>0.21</v>
      </c>
      <c r="L16" s="4">
        <v>0.28199999999999997</v>
      </c>
      <c r="M16" s="4">
        <v>0.30499999999999999</v>
      </c>
      <c r="N16" s="4">
        <f t="shared" si="0"/>
        <v>0.58699999999999997</v>
      </c>
      <c r="O16" s="4">
        <v>0.26400000000000001</v>
      </c>
      <c r="P16" s="2">
        <v>65</v>
      </c>
      <c r="Q16" s="5">
        <v>-0.8</v>
      </c>
      <c r="R16" s="5">
        <v>-5.7</v>
      </c>
      <c r="S16" s="5">
        <v>4.4000000000000004</v>
      </c>
      <c r="T16" s="5">
        <v>0.3</v>
      </c>
    </row>
    <row r="17" spans="1:20" x14ac:dyDescent="0.25">
      <c r="A17" s="2" t="s">
        <v>34</v>
      </c>
      <c r="B17" s="2">
        <v>32</v>
      </c>
      <c r="C17" s="2">
        <v>5</v>
      </c>
      <c r="D17" s="2">
        <v>1</v>
      </c>
      <c r="E17" s="2">
        <v>0</v>
      </c>
      <c r="F17" s="2">
        <v>0</v>
      </c>
      <c r="G17" s="3">
        <v>0</v>
      </c>
      <c r="H17" s="3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f t="shared" si="0"/>
        <v>0</v>
      </c>
      <c r="O17" s="4">
        <v>0</v>
      </c>
      <c r="P17" s="2">
        <v>-100</v>
      </c>
      <c r="Q17" s="5">
        <v>0.2</v>
      </c>
      <c r="R17" s="5">
        <v>-0.1</v>
      </c>
      <c r="S17" s="5">
        <v>-0.3</v>
      </c>
      <c r="T17" s="5">
        <v>0</v>
      </c>
    </row>
    <row r="18" spans="1:20" x14ac:dyDescent="0.25">
      <c r="A18" s="2" t="s">
        <v>35</v>
      </c>
      <c r="B18" s="2">
        <v>28</v>
      </c>
      <c r="C18" s="2">
        <v>5</v>
      </c>
      <c r="D18" s="2">
        <v>8</v>
      </c>
      <c r="E18" s="2">
        <v>0</v>
      </c>
      <c r="F18" s="2">
        <v>0</v>
      </c>
      <c r="G18" s="3">
        <v>0</v>
      </c>
      <c r="H18" s="3">
        <v>0.25</v>
      </c>
      <c r="I18" s="4">
        <v>0</v>
      </c>
      <c r="J18" s="4">
        <v>0.33300000000000002</v>
      </c>
      <c r="K18" s="4">
        <v>0.25</v>
      </c>
      <c r="L18" s="4">
        <v>0.25</v>
      </c>
      <c r="M18" s="4">
        <v>0.25</v>
      </c>
      <c r="N18" s="4">
        <f t="shared" si="0"/>
        <v>0.5</v>
      </c>
      <c r="O18" s="4">
        <v>0.221</v>
      </c>
      <c r="P18" s="2">
        <v>35</v>
      </c>
      <c r="Q18" s="5">
        <v>0</v>
      </c>
      <c r="R18" s="5">
        <v>-0.6</v>
      </c>
      <c r="S18" s="5">
        <v>-0.5</v>
      </c>
      <c r="T18" s="5">
        <v>-0.1</v>
      </c>
    </row>
    <row r="19" spans="1:20" x14ac:dyDescent="0.25">
      <c r="A19" s="2" t="s">
        <v>36</v>
      </c>
      <c r="B19" s="2">
        <v>29</v>
      </c>
      <c r="C19" s="2">
        <v>7</v>
      </c>
      <c r="D19" s="2">
        <v>7</v>
      </c>
      <c r="E19" s="2">
        <v>0</v>
      </c>
      <c r="F19" s="2">
        <v>0</v>
      </c>
      <c r="G19" s="3">
        <v>0.14299999999999999</v>
      </c>
      <c r="H19" s="3">
        <v>0</v>
      </c>
      <c r="I19" s="4">
        <v>0</v>
      </c>
      <c r="J19" s="4">
        <v>0</v>
      </c>
      <c r="K19" s="4">
        <v>0</v>
      </c>
      <c r="L19" s="4">
        <v>0.14299999999999999</v>
      </c>
      <c r="M19" s="4">
        <v>0</v>
      </c>
      <c r="N19" s="4">
        <f t="shared" si="0"/>
        <v>0.14299999999999999</v>
      </c>
      <c r="O19" s="4">
        <v>9.9000000000000005E-2</v>
      </c>
      <c r="P19" s="2">
        <v>-48</v>
      </c>
      <c r="Q19" s="5">
        <v>0</v>
      </c>
      <c r="R19" s="5">
        <v>-1.2</v>
      </c>
      <c r="S19" s="5">
        <v>-0.1</v>
      </c>
      <c r="T19" s="5">
        <v>-0.1</v>
      </c>
    </row>
    <row r="20" spans="1:20" x14ac:dyDescent="0.25">
      <c r="A20" s="2" t="s">
        <v>37</v>
      </c>
      <c r="B20" s="2">
        <v>26</v>
      </c>
      <c r="C20" s="2">
        <v>4</v>
      </c>
      <c r="D20" s="2">
        <v>8</v>
      </c>
      <c r="E20" s="2">
        <v>0</v>
      </c>
      <c r="F20" s="2">
        <v>0</v>
      </c>
      <c r="G20" s="3">
        <v>0.125</v>
      </c>
      <c r="H20" s="3">
        <v>0.25</v>
      </c>
      <c r="I20" s="4">
        <v>0</v>
      </c>
      <c r="J20" s="4">
        <v>0</v>
      </c>
      <c r="K20" s="4">
        <v>0</v>
      </c>
      <c r="L20" s="4">
        <v>0.125</v>
      </c>
      <c r="M20" s="4">
        <v>0</v>
      </c>
      <c r="N20" s="4">
        <f t="shared" si="0"/>
        <v>0.125</v>
      </c>
      <c r="O20" s="4">
        <v>8.5999999999999993E-2</v>
      </c>
      <c r="P20" s="2">
        <v>-57</v>
      </c>
      <c r="Q20" s="5">
        <v>0</v>
      </c>
      <c r="R20" s="5">
        <v>-1.5</v>
      </c>
      <c r="S20" s="5">
        <v>0</v>
      </c>
      <c r="T20" s="5">
        <v>-0.1</v>
      </c>
    </row>
    <row r="21" spans="1:20" x14ac:dyDescent="0.25">
      <c r="A21" s="2" t="s">
        <v>38</v>
      </c>
      <c r="B21" s="2">
        <v>31</v>
      </c>
      <c r="C21" s="2">
        <v>2</v>
      </c>
      <c r="D21" s="2">
        <v>9</v>
      </c>
      <c r="E21" s="2">
        <v>0</v>
      </c>
      <c r="F21" s="2">
        <v>0</v>
      </c>
      <c r="G21" s="3">
        <v>0</v>
      </c>
      <c r="H21" s="3">
        <v>0.111</v>
      </c>
      <c r="I21" s="4">
        <v>0</v>
      </c>
      <c r="J21" s="4">
        <v>0.14299999999999999</v>
      </c>
      <c r="K21" s="4">
        <v>0.125</v>
      </c>
      <c r="L21" s="4">
        <v>0.125</v>
      </c>
      <c r="M21" s="4">
        <v>0.125</v>
      </c>
      <c r="N21" s="4">
        <f t="shared" si="0"/>
        <v>0.25</v>
      </c>
      <c r="O21" s="4">
        <v>0.11</v>
      </c>
      <c r="P21" s="2">
        <v>-40</v>
      </c>
      <c r="Q21" s="5">
        <v>0.1</v>
      </c>
      <c r="R21" s="5">
        <v>-1.4</v>
      </c>
      <c r="S21" s="5">
        <v>-0.6</v>
      </c>
      <c r="T21" s="5">
        <v>-0.2</v>
      </c>
    </row>
    <row r="22" spans="1:20" x14ac:dyDescent="0.25">
      <c r="A22" s="2" t="s">
        <v>39</v>
      </c>
      <c r="B22" s="2">
        <v>25</v>
      </c>
      <c r="C22" s="2">
        <v>62</v>
      </c>
      <c r="D22" s="2">
        <v>218</v>
      </c>
      <c r="E22" s="2">
        <v>8</v>
      </c>
      <c r="F22" s="2">
        <v>2</v>
      </c>
      <c r="G22" s="3">
        <v>5.5E-2</v>
      </c>
      <c r="H22" s="3">
        <v>0.307</v>
      </c>
      <c r="I22" s="4">
        <v>0.17799999999999999</v>
      </c>
      <c r="J22" s="4">
        <v>0.30599999999999999</v>
      </c>
      <c r="K22" s="4">
        <v>0.23400000000000001</v>
      </c>
      <c r="L22" s="4">
        <v>0.29799999999999999</v>
      </c>
      <c r="M22" s="4">
        <v>0.41099999999999998</v>
      </c>
      <c r="N22" s="4">
        <f t="shared" si="0"/>
        <v>0.70899999999999996</v>
      </c>
      <c r="O22" s="4">
        <v>0.308</v>
      </c>
      <c r="P22" s="2">
        <v>95</v>
      </c>
      <c r="Q22" s="5">
        <v>-1.3</v>
      </c>
      <c r="R22" s="5">
        <v>-2.5</v>
      </c>
      <c r="S22" s="5">
        <v>-6.6</v>
      </c>
      <c r="T22" s="5">
        <v>-0.2</v>
      </c>
    </row>
    <row r="23" spans="1:20" x14ac:dyDescent="0.25">
      <c r="A23" s="2" t="s">
        <v>40</v>
      </c>
      <c r="B23" s="2">
        <v>30</v>
      </c>
      <c r="C23" s="2">
        <v>54</v>
      </c>
      <c r="D23" s="2">
        <v>125</v>
      </c>
      <c r="E23" s="2">
        <v>5</v>
      </c>
      <c r="F23" s="2">
        <v>2</v>
      </c>
      <c r="G23" s="3">
        <v>9.6000000000000002E-2</v>
      </c>
      <c r="H23" s="3">
        <v>0.27200000000000002</v>
      </c>
      <c r="I23" s="4">
        <v>0.17100000000000001</v>
      </c>
      <c r="J23" s="4">
        <v>0.23599999999999999</v>
      </c>
      <c r="K23" s="4">
        <v>0.19800000000000001</v>
      </c>
      <c r="L23" s="4">
        <v>0.28199999999999997</v>
      </c>
      <c r="M23" s="4">
        <v>0.36899999999999999</v>
      </c>
      <c r="N23" s="4">
        <f t="shared" si="0"/>
        <v>0.65100000000000002</v>
      </c>
      <c r="O23" s="4">
        <v>0.28799999999999998</v>
      </c>
      <c r="P23" s="2">
        <v>81</v>
      </c>
      <c r="Q23" s="5">
        <v>-1.2</v>
      </c>
      <c r="R23" s="5">
        <v>-4</v>
      </c>
      <c r="S23" s="5">
        <v>-4.0999999999999996</v>
      </c>
      <c r="T23" s="5">
        <v>-0.4</v>
      </c>
    </row>
    <row r="24" spans="1:20" x14ac:dyDescent="0.25">
      <c r="A24" s="2" t="s">
        <v>41</v>
      </c>
      <c r="B24" s="2">
        <v>33</v>
      </c>
      <c r="C24" s="2">
        <v>147</v>
      </c>
      <c r="D24" s="2">
        <v>589</v>
      </c>
      <c r="E24" s="2">
        <v>17</v>
      </c>
      <c r="F24" s="2">
        <v>4</v>
      </c>
      <c r="G24" s="3">
        <v>5.3999999999999999E-2</v>
      </c>
      <c r="H24" s="3">
        <v>0.22600000000000001</v>
      </c>
      <c r="I24" s="4">
        <v>0.15</v>
      </c>
      <c r="J24" s="4">
        <v>0.29799999999999999</v>
      </c>
      <c r="K24" s="4">
        <v>0.25</v>
      </c>
      <c r="L24" s="4">
        <v>0.29399999999999998</v>
      </c>
      <c r="M24" s="4">
        <v>0.4</v>
      </c>
      <c r="N24" s="4">
        <f t="shared" si="0"/>
        <v>0.69399999999999995</v>
      </c>
      <c r="O24" s="4">
        <v>0.3</v>
      </c>
      <c r="P24" s="2">
        <v>90</v>
      </c>
      <c r="Q24" s="5">
        <v>-1.8</v>
      </c>
      <c r="R24" s="5">
        <v>-9</v>
      </c>
      <c r="S24" s="5">
        <v>-16.2</v>
      </c>
      <c r="T24" s="5">
        <v>-0.6</v>
      </c>
    </row>
    <row r="25" spans="1:20" x14ac:dyDescent="0.25">
      <c r="A25" s="2"/>
      <c r="B25" s="2"/>
      <c r="C25" s="2"/>
      <c r="D25" s="2"/>
      <c r="E25" s="2"/>
      <c r="F25" s="2"/>
      <c r="G25" s="3"/>
      <c r="H25" s="3"/>
      <c r="I25" s="4"/>
      <c r="J25" s="4"/>
      <c r="K25" s="4"/>
      <c r="L25" s="4"/>
      <c r="M25" s="4"/>
      <c r="N25" s="4"/>
      <c r="O25" s="4"/>
      <c r="P25" s="2"/>
      <c r="Q25" s="5"/>
      <c r="R25" s="5"/>
      <c r="S25" s="5"/>
      <c r="T25" s="5"/>
    </row>
    <row r="26" spans="1:20" x14ac:dyDescent="0.25">
      <c r="A26" s="6" t="s">
        <v>42</v>
      </c>
      <c r="B26" s="6">
        <v>30</v>
      </c>
      <c r="C26" s="6">
        <v>2300</v>
      </c>
      <c r="D26" s="6">
        <v>6166</v>
      </c>
      <c r="E26" s="6">
        <v>212</v>
      </c>
      <c r="F26" s="6">
        <v>124</v>
      </c>
      <c r="G26" s="7">
        <v>8.5999999999999993E-2</v>
      </c>
      <c r="H26" s="7">
        <v>0.217</v>
      </c>
      <c r="I26" s="8">
        <v>0.17299999999999999</v>
      </c>
      <c r="J26" s="8">
        <v>0.30299999999999999</v>
      </c>
      <c r="K26" s="8">
        <v>0.25800000000000001</v>
      </c>
      <c r="L26" s="8">
        <v>0.32800000000000001</v>
      </c>
      <c r="M26" s="8">
        <v>0.43099999999999999</v>
      </c>
      <c r="N26" s="8">
        <f>L26+M26</f>
        <v>0.75900000000000001</v>
      </c>
      <c r="O26" s="8">
        <v>0.32900000000000001</v>
      </c>
      <c r="P26" s="6">
        <v>109</v>
      </c>
      <c r="Q26" s="9">
        <v>7.9</v>
      </c>
      <c r="R26" s="9">
        <v>74.7</v>
      </c>
      <c r="S26" s="9">
        <v>-17.8</v>
      </c>
      <c r="T26" s="9">
        <v>26.8</v>
      </c>
    </row>
  </sheetData>
  <autoFilter ref="A4:T24" xr:uid="{00000000-0009-0000-0000-000000000000}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topLeftCell="Q1" workbookViewId="0">
      <pane ySplit="1" topLeftCell="A43" activePane="bottomLeft" state="frozen"/>
      <selection pane="bottomLeft"/>
    </sheetView>
  </sheetViews>
  <sheetFormatPr defaultRowHeight="15" x14ac:dyDescent="0.25"/>
  <cols>
    <col min="1" max="1" width="20" customWidth="1"/>
    <col min="2" max="20" width="12" customWidth="1"/>
  </cols>
  <sheetData>
    <row r="1" spans="1:20" x14ac:dyDescent="0.25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</row>
    <row r="2" spans="1:20" x14ac:dyDescent="0.25">
      <c r="A2" t="s">
        <v>22</v>
      </c>
      <c r="B2">
        <v>32</v>
      </c>
      <c r="C2">
        <v>141</v>
      </c>
      <c r="D2">
        <v>639</v>
      </c>
      <c r="E2">
        <v>15</v>
      </c>
      <c r="F2">
        <v>36</v>
      </c>
      <c r="G2" s="11">
        <v>6.7000000000000004E-2</v>
      </c>
      <c r="H2" s="11">
        <v>0.16700000000000001</v>
      </c>
      <c r="I2" s="12">
        <v>0.153</v>
      </c>
      <c r="J2" s="12">
        <v>0.35</v>
      </c>
      <c r="K2" s="12">
        <v>0.30399999999999999</v>
      </c>
      <c r="L2" s="12">
        <v>0.35499999999999998</v>
      </c>
      <c r="M2" s="12">
        <v>0.45700000000000002</v>
      </c>
      <c r="N2" s="12">
        <f t="shared" ref="N2:N16" si="0">L2+M2</f>
        <v>0.81200000000000006</v>
      </c>
      <c r="O2" s="12">
        <v>0.35199999999999998</v>
      </c>
      <c r="P2">
        <v>125</v>
      </c>
      <c r="Q2" s="13">
        <v>8</v>
      </c>
      <c r="R2" s="13">
        <v>26.8</v>
      </c>
      <c r="S2" s="13">
        <v>17.2</v>
      </c>
      <c r="T2" s="13">
        <v>6.7</v>
      </c>
    </row>
    <row r="3" spans="1:20" x14ac:dyDescent="0.25">
      <c r="A3" t="s">
        <v>23</v>
      </c>
      <c r="B3">
        <v>32</v>
      </c>
      <c r="C3">
        <v>162</v>
      </c>
      <c r="D3">
        <v>724</v>
      </c>
      <c r="E3">
        <v>56</v>
      </c>
      <c r="F3">
        <v>10</v>
      </c>
      <c r="G3" s="11">
        <v>0.14899999999999999</v>
      </c>
      <c r="H3" s="11">
        <v>0.27200000000000002</v>
      </c>
      <c r="I3" s="12">
        <v>0.32300000000000001</v>
      </c>
      <c r="J3" s="12">
        <v>0.253</v>
      </c>
      <c r="K3" s="12">
        <v>0.24</v>
      </c>
      <c r="L3" s="12">
        <v>0.36499999999999999</v>
      </c>
      <c r="M3" s="12">
        <v>0.56299999999999994</v>
      </c>
      <c r="N3" s="12">
        <f t="shared" si="0"/>
        <v>0.92799999999999994</v>
      </c>
      <c r="O3" s="12">
        <v>0.39100000000000001</v>
      </c>
      <c r="P3">
        <v>152</v>
      </c>
      <c r="Q3" s="13">
        <v>-1.1000000000000001</v>
      </c>
      <c r="R3" s="13">
        <v>43.6</v>
      </c>
      <c r="S3" s="13">
        <v>-19.600000000000001</v>
      </c>
      <c r="T3" s="13">
        <v>4.9000000000000004</v>
      </c>
    </row>
    <row r="4" spans="1:20" x14ac:dyDescent="0.25">
      <c r="A4" t="s">
        <v>24</v>
      </c>
      <c r="B4">
        <v>32</v>
      </c>
      <c r="C4">
        <v>132</v>
      </c>
      <c r="D4">
        <v>580</v>
      </c>
      <c r="E4">
        <v>27</v>
      </c>
      <c r="F4">
        <v>12</v>
      </c>
      <c r="G4" s="11">
        <v>0.121</v>
      </c>
      <c r="H4" s="11">
        <v>0.20899999999999999</v>
      </c>
      <c r="I4" s="12">
        <v>0.22600000000000001</v>
      </c>
      <c r="J4" s="12">
        <v>0.29199999999999998</v>
      </c>
      <c r="K4" s="12">
        <v>0.26100000000000001</v>
      </c>
      <c r="L4" s="12">
        <v>0.35699999999999998</v>
      </c>
      <c r="M4" s="12">
        <v>0.48699999999999999</v>
      </c>
      <c r="N4" s="12">
        <f t="shared" si="0"/>
        <v>0.84399999999999997</v>
      </c>
      <c r="O4" s="12">
        <v>0.36099999999999999</v>
      </c>
      <c r="P4">
        <v>131</v>
      </c>
      <c r="Q4" s="13">
        <v>1.3</v>
      </c>
      <c r="R4" s="13">
        <v>22.8</v>
      </c>
      <c r="S4" s="13">
        <v>-8.1999999999999993</v>
      </c>
      <c r="T4" s="13">
        <v>3.5</v>
      </c>
    </row>
    <row r="5" spans="1:20" x14ac:dyDescent="0.25">
      <c r="A5" t="s">
        <v>25</v>
      </c>
      <c r="B5">
        <v>27</v>
      </c>
      <c r="C5">
        <v>147</v>
      </c>
      <c r="D5">
        <v>560</v>
      </c>
      <c r="E5">
        <v>13</v>
      </c>
      <c r="F5">
        <v>24</v>
      </c>
      <c r="G5" s="11">
        <v>9.6000000000000002E-2</v>
      </c>
      <c r="H5" s="11">
        <v>0.16300000000000001</v>
      </c>
      <c r="I5" s="12">
        <v>0.13400000000000001</v>
      </c>
      <c r="J5" s="12">
        <v>0.28799999999999998</v>
      </c>
      <c r="K5" s="12">
        <v>0.25700000000000001</v>
      </c>
      <c r="L5" s="12">
        <v>0.32800000000000001</v>
      </c>
      <c r="M5" s="12">
        <v>0.39100000000000001</v>
      </c>
      <c r="N5" s="12">
        <f t="shared" si="0"/>
        <v>0.71900000000000008</v>
      </c>
      <c r="O5" s="12">
        <v>0.315</v>
      </c>
      <c r="P5">
        <v>100</v>
      </c>
      <c r="Q5" s="13">
        <v>3.8</v>
      </c>
      <c r="R5" s="13">
        <v>3.8</v>
      </c>
      <c r="S5" s="13">
        <v>7.6</v>
      </c>
      <c r="T5" s="13">
        <v>3.1</v>
      </c>
    </row>
    <row r="6" spans="1:20" x14ac:dyDescent="0.25">
      <c r="A6" t="s">
        <v>26</v>
      </c>
      <c r="B6">
        <v>27</v>
      </c>
      <c r="C6">
        <v>133</v>
      </c>
      <c r="D6">
        <v>425</v>
      </c>
      <c r="E6">
        <v>11</v>
      </c>
      <c r="F6">
        <v>7</v>
      </c>
      <c r="G6" s="11">
        <v>8.8999999999999996E-2</v>
      </c>
      <c r="H6" s="11">
        <v>0.25900000000000001</v>
      </c>
      <c r="I6" s="12">
        <v>0.16400000000000001</v>
      </c>
      <c r="J6" s="12">
        <v>0.36299999999999999</v>
      </c>
      <c r="K6" s="12">
        <v>0.28000000000000003</v>
      </c>
      <c r="L6" s="12">
        <v>0.34200000000000003</v>
      </c>
      <c r="M6" s="12">
        <v>0.443</v>
      </c>
      <c r="N6" s="12">
        <f t="shared" si="0"/>
        <v>0.78500000000000003</v>
      </c>
      <c r="O6" s="12">
        <v>0.33900000000000002</v>
      </c>
      <c r="P6">
        <v>116</v>
      </c>
      <c r="Q6" s="13">
        <v>2.6</v>
      </c>
      <c r="R6" s="13">
        <v>10.9</v>
      </c>
      <c r="S6" s="13">
        <v>-1.3</v>
      </c>
      <c r="T6" s="13">
        <v>2.4</v>
      </c>
    </row>
    <row r="7" spans="1:20" x14ac:dyDescent="0.25">
      <c r="A7" t="s">
        <v>27</v>
      </c>
      <c r="B7">
        <v>34</v>
      </c>
      <c r="C7">
        <v>134</v>
      </c>
      <c r="D7">
        <v>550</v>
      </c>
      <c r="E7">
        <v>12</v>
      </c>
      <c r="F7">
        <v>8</v>
      </c>
      <c r="G7" s="11">
        <v>6.4000000000000001E-2</v>
      </c>
      <c r="H7" s="11">
        <v>0.23499999999999999</v>
      </c>
      <c r="I7" s="12">
        <v>0.127</v>
      </c>
      <c r="J7" s="12">
        <v>0.32100000000000001</v>
      </c>
      <c r="K7" s="12">
        <v>0.25700000000000001</v>
      </c>
      <c r="L7" s="12">
        <v>0.315</v>
      </c>
      <c r="M7" s="12">
        <v>0.38400000000000001</v>
      </c>
      <c r="N7" s="12">
        <f t="shared" si="0"/>
        <v>0.69900000000000007</v>
      </c>
      <c r="O7" s="12">
        <v>0.307</v>
      </c>
      <c r="P7">
        <v>94</v>
      </c>
      <c r="Q7" s="13">
        <v>0.7</v>
      </c>
      <c r="R7" s="13">
        <v>-3.2</v>
      </c>
      <c r="S7" s="13">
        <v>5.2</v>
      </c>
      <c r="T7" s="13">
        <v>2.1</v>
      </c>
    </row>
    <row r="8" spans="1:20" x14ac:dyDescent="0.25">
      <c r="A8" t="s">
        <v>28</v>
      </c>
      <c r="B8">
        <v>28</v>
      </c>
      <c r="C8">
        <v>120</v>
      </c>
      <c r="D8">
        <v>504</v>
      </c>
      <c r="E8">
        <v>11</v>
      </c>
      <c r="F8">
        <v>2</v>
      </c>
      <c r="G8" s="11">
        <v>5.8000000000000003E-2</v>
      </c>
      <c r="H8" s="11">
        <v>0.16300000000000001</v>
      </c>
      <c r="I8" s="12">
        <v>0.123</v>
      </c>
      <c r="J8" s="12">
        <v>0.32400000000000001</v>
      </c>
      <c r="K8" s="12">
        <v>0.28699999999999998</v>
      </c>
      <c r="L8" s="12">
        <v>0.33100000000000002</v>
      </c>
      <c r="M8" s="12">
        <v>0.40899999999999997</v>
      </c>
      <c r="N8" s="12">
        <f t="shared" si="0"/>
        <v>0.74</v>
      </c>
      <c r="O8" s="12">
        <v>0.32200000000000001</v>
      </c>
      <c r="P8">
        <v>105</v>
      </c>
      <c r="Q8" s="13">
        <v>-2.8</v>
      </c>
      <c r="R8" s="13">
        <v>0.1</v>
      </c>
      <c r="S8" s="13">
        <v>0.2</v>
      </c>
      <c r="T8" s="13">
        <v>1.7</v>
      </c>
    </row>
    <row r="9" spans="1:20" x14ac:dyDescent="0.25">
      <c r="A9" t="s">
        <v>29</v>
      </c>
      <c r="B9">
        <v>29</v>
      </c>
      <c r="C9">
        <v>89</v>
      </c>
      <c r="D9">
        <v>261</v>
      </c>
      <c r="E9">
        <v>11</v>
      </c>
      <c r="F9">
        <v>1</v>
      </c>
      <c r="G9" s="11">
        <v>3.7999999999999999E-2</v>
      </c>
      <c r="H9" s="11">
        <v>0.215</v>
      </c>
      <c r="I9" s="12">
        <v>0.193</v>
      </c>
      <c r="J9" s="12">
        <v>0.315</v>
      </c>
      <c r="K9" s="12">
        <v>0.27600000000000002</v>
      </c>
      <c r="L9" s="12">
        <v>0.307</v>
      </c>
      <c r="M9" s="12">
        <v>0.46899999999999997</v>
      </c>
      <c r="N9" s="12">
        <f t="shared" si="0"/>
        <v>0.77600000000000002</v>
      </c>
      <c r="O9" s="12">
        <v>0.33200000000000002</v>
      </c>
      <c r="P9">
        <v>111</v>
      </c>
      <c r="Q9" s="13">
        <v>-1.1000000000000001</v>
      </c>
      <c r="R9" s="13">
        <v>2.5</v>
      </c>
      <c r="S9" s="13">
        <v>4.7</v>
      </c>
      <c r="T9" s="13">
        <v>1.6</v>
      </c>
    </row>
    <row r="10" spans="1:20" x14ac:dyDescent="0.25">
      <c r="A10" t="s">
        <v>30</v>
      </c>
      <c r="B10">
        <v>31</v>
      </c>
      <c r="C10">
        <v>50</v>
      </c>
      <c r="D10">
        <v>194</v>
      </c>
      <c r="E10">
        <v>5</v>
      </c>
      <c r="F10">
        <v>1</v>
      </c>
      <c r="G10" s="11">
        <v>6.2E-2</v>
      </c>
      <c r="H10" s="11">
        <v>0.28399999999999997</v>
      </c>
      <c r="I10" s="12">
        <v>0.158</v>
      </c>
      <c r="J10" s="12">
        <v>0.41499999999999998</v>
      </c>
      <c r="K10" s="12">
        <v>0.30499999999999999</v>
      </c>
      <c r="L10" s="12">
        <v>0.36099999999999999</v>
      </c>
      <c r="M10" s="12">
        <v>0.46300000000000002</v>
      </c>
      <c r="N10" s="12">
        <f t="shared" si="0"/>
        <v>0.82400000000000007</v>
      </c>
      <c r="O10" s="12">
        <v>0.35799999999999998</v>
      </c>
      <c r="P10">
        <v>129</v>
      </c>
      <c r="Q10" s="13">
        <v>-1.3</v>
      </c>
      <c r="R10" s="13">
        <v>5.4</v>
      </c>
      <c r="S10" s="13">
        <v>-0.1</v>
      </c>
      <c r="T10" s="13">
        <v>1.2</v>
      </c>
    </row>
    <row r="11" spans="1:20" x14ac:dyDescent="0.25">
      <c r="A11" t="s">
        <v>31</v>
      </c>
      <c r="B11">
        <v>32</v>
      </c>
      <c r="C11">
        <v>127</v>
      </c>
      <c r="D11">
        <v>474</v>
      </c>
      <c r="E11">
        <v>18</v>
      </c>
      <c r="F11">
        <v>3</v>
      </c>
      <c r="G11" s="11">
        <v>0.10100000000000001</v>
      </c>
      <c r="H11" s="11">
        <v>0.19600000000000001</v>
      </c>
      <c r="I11" s="12">
        <v>0.17499999999999999</v>
      </c>
      <c r="J11" s="12">
        <v>0.23200000000000001</v>
      </c>
      <c r="K11" s="12">
        <v>0.216</v>
      </c>
      <c r="L11" s="12">
        <v>0.3</v>
      </c>
      <c r="M11" s="12">
        <v>0.39100000000000001</v>
      </c>
      <c r="N11" s="12">
        <f t="shared" si="0"/>
        <v>0.69100000000000006</v>
      </c>
      <c r="O11" s="12">
        <v>0.3</v>
      </c>
      <c r="P11">
        <v>90</v>
      </c>
      <c r="Q11" s="13">
        <v>0.6</v>
      </c>
      <c r="R11" s="13">
        <v>-5.0999999999999996</v>
      </c>
      <c r="S11" s="13">
        <v>-4.7</v>
      </c>
      <c r="T11" s="13">
        <v>0.6</v>
      </c>
    </row>
    <row r="12" spans="1:20" x14ac:dyDescent="0.25">
      <c r="A12" t="s">
        <v>32</v>
      </c>
      <c r="B12">
        <v>24</v>
      </c>
      <c r="C12">
        <v>71</v>
      </c>
      <c r="D12">
        <v>172</v>
      </c>
      <c r="E12">
        <v>1</v>
      </c>
      <c r="F12">
        <v>12</v>
      </c>
      <c r="G12" s="11">
        <v>7.5999999999999998E-2</v>
      </c>
      <c r="H12" s="11">
        <v>0.23300000000000001</v>
      </c>
      <c r="I12" s="12">
        <v>6.6000000000000003E-2</v>
      </c>
      <c r="J12" s="12">
        <v>0.28899999999999998</v>
      </c>
      <c r="K12" s="12">
        <v>0.224</v>
      </c>
      <c r="L12" s="12">
        <v>0.28000000000000003</v>
      </c>
      <c r="M12" s="12">
        <v>0.28899999999999998</v>
      </c>
      <c r="N12" s="12">
        <f t="shared" si="0"/>
        <v>0.56899999999999995</v>
      </c>
      <c r="O12" s="12">
        <v>0.254</v>
      </c>
      <c r="P12">
        <v>58</v>
      </c>
      <c r="Q12" s="13">
        <v>2</v>
      </c>
      <c r="R12" s="13">
        <v>-6.6</v>
      </c>
      <c r="S12" s="13">
        <v>5.0999999999999996</v>
      </c>
      <c r="T12" s="13">
        <v>0.4</v>
      </c>
    </row>
    <row r="13" spans="1:20" x14ac:dyDescent="0.25">
      <c r="A13" t="s">
        <v>33</v>
      </c>
      <c r="B13">
        <v>26</v>
      </c>
      <c r="C13">
        <v>42</v>
      </c>
      <c r="D13">
        <v>118</v>
      </c>
      <c r="E13">
        <v>2</v>
      </c>
      <c r="F13">
        <v>0</v>
      </c>
      <c r="G13" s="11">
        <v>8.5000000000000006E-2</v>
      </c>
      <c r="H13" s="11">
        <v>0.14399999999999999</v>
      </c>
      <c r="I13" s="12">
        <v>9.5000000000000001E-2</v>
      </c>
      <c r="J13" s="12">
        <v>0.23</v>
      </c>
      <c r="K13" s="12">
        <v>0.21</v>
      </c>
      <c r="L13" s="12">
        <v>0.28199999999999997</v>
      </c>
      <c r="M13" s="12">
        <v>0.30499999999999999</v>
      </c>
      <c r="N13" s="12">
        <f t="shared" si="0"/>
        <v>0.58699999999999997</v>
      </c>
      <c r="O13" s="12">
        <v>0.26400000000000001</v>
      </c>
      <c r="P13">
        <v>65</v>
      </c>
      <c r="Q13" s="13">
        <v>-0.8</v>
      </c>
      <c r="R13" s="13">
        <v>-5.7</v>
      </c>
      <c r="S13" s="13">
        <v>4.4000000000000004</v>
      </c>
      <c r="T13" s="13">
        <v>0.3</v>
      </c>
    </row>
    <row r="14" spans="1:20" x14ac:dyDescent="0.25">
      <c r="A14" t="s">
        <v>39</v>
      </c>
      <c r="B14">
        <v>25</v>
      </c>
      <c r="C14">
        <v>62</v>
      </c>
      <c r="D14">
        <v>218</v>
      </c>
      <c r="E14">
        <v>8</v>
      </c>
      <c r="F14">
        <v>2</v>
      </c>
      <c r="G14" s="11">
        <v>5.5E-2</v>
      </c>
      <c r="H14" s="11">
        <v>0.307</v>
      </c>
      <c r="I14" s="12">
        <v>0.17799999999999999</v>
      </c>
      <c r="J14" s="12">
        <v>0.30599999999999999</v>
      </c>
      <c r="K14" s="12">
        <v>0.23400000000000001</v>
      </c>
      <c r="L14" s="12">
        <v>0.29799999999999999</v>
      </c>
      <c r="M14" s="12">
        <v>0.41099999999999998</v>
      </c>
      <c r="N14" s="12">
        <f t="shared" si="0"/>
        <v>0.70899999999999996</v>
      </c>
      <c r="O14" s="12">
        <v>0.308</v>
      </c>
      <c r="P14">
        <v>95</v>
      </c>
      <c r="Q14" s="13">
        <v>-1.3</v>
      </c>
      <c r="R14" s="13">
        <v>-2.5</v>
      </c>
      <c r="S14" s="13">
        <v>-6.6</v>
      </c>
      <c r="T14" s="13">
        <v>-0.2</v>
      </c>
    </row>
    <row r="15" spans="1:20" x14ac:dyDescent="0.25">
      <c r="A15" t="s">
        <v>40</v>
      </c>
      <c r="B15">
        <v>30</v>
      </c>
      <c r="C15">
        <v>54</v>
      </c>
      <c r="D15">
        <v>125</v>
      </c>
      <c r="E15">
        <v>5</v>
      </c>
      <c r="F15">
        <v>2</v>
      </c>
      <c r="G15" s="11">
        <v>9.6000000000000002E-2</v>
      </c>
      <c r="H15" s="11">
        <v>0.27200000000000002</v>
      </c>
      <c r="I15" s="12">
        <v>0.17100000000000001</v>
      </c>
      <c r="J15" s="12">
        <v>0.23599999999999999</v>
      </c>
      <c r="K15" s="12">
        <v>0.19800000000000001</v>
      </c>
      <c r="L15" s="12">
        <v>0.28199999999999997</v>
      </c>
      <c r="M15" s="12">
        <v>0.36899999999999999</v>
      </c>
      <c r="N15" s="12">
        <f t="shared" si="0"/>
        <v>0.65100000000000002</v>
      </c>
      <c r="O15" s="12">
        <v>0.28799999999999998</v>
      </c>
      <c r="P15">
        <v>81</v>
      </c>
      <c r="Q15" s="13">
        <v>-1.2</v>
      </c>
      <c r="R15" s="13">
        <v>-4</v>
      </c>
      <c r="S15" s="13">
        <v>-4.0999999999999996</v>
      </c>
      <c r="T15" s="13">
        <v>-0.4</v>
      </c>
    </row>
    <row r="16" spans="1:20" x14ac:dyDescent="0.25">
      <c r="A16" t="s">
        <v>41</v>
      </c>
      <c r="B16">
        <v>33</v>
      </c>
      <c r="C16">
        <v>147</v>
      </c>
      <c r="D16">
        <v>589</v>
      </c>
      <c r="E16">
        <v>17</v>
      </c>
      <c r="F16">
        <v>4</v>
      </c>
      <c r="G16" s="11">
        <v>5.3999999999999999E-2</v>
      </c>
      <c r="H16" s="11">
        <v>0.22600000000000001</v>
      </c>
      <c r="I16" s="12">
        <v>0.15</v>
      </c>
      <c r="J16" s="12">
        <v>0.29799999999999999</v>
      </c>
      <c r="K16" s="12">
        <v>0.25</v>
      </c>
      <c r="L16" s="12">
        <v>0.29399999999999998</v>
      </c>
      <c r="M16" s="12">
        <v>0.4</v>
      </c>
      <c r="N16" s="12">
        <f t="shared" si="0"/>
        <v>0.69399999999999995</v>
      </c>
      <c r="O16" s="12">
        <v>0.3</v>
      </c>
      <c r="P16">
        <v>90</v>
      </c>
      <c r="Q16" s="13">
        <v>-1.8</v>
      </c>
      <c r="R16" s="13">
        <v>-9</v>
      </c>
      <c r="S16" s="13">
        <v>-16.2</v>
      </c>
      <c r="T16" s="13">
        <v>-0.6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cols>
    <col min="1" max="1" width="120" customWidth="1"/>
  </cols>
  <sheetData>
    <row r="1" spans="1:1" ht="21" x14ac:dyDescent="0.35">
      <c r="A1" s="14" t="s">
        <v>43</v>
      </c>
    </row>
    <row r="3" spans="1:1" ht="409.6" customHeight="1" x14ac:dyDescent="0.25">
      <c r="A3" s="15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defaultRowHeight="15" x14ac:dyDescent="0.25"/>
  <sheetData>
    <row r="1" spans="1:1" x14ac:dyDescent="0.25">
      <c r="A1" s="16" t="s">
        <v>45</v>
      </c>
    </row>
    <row r="2" spans="1:1" x14ac:dyDescent="0.25">
      <c r="A2" t="s">
        <v>46</v>
      </c>
    </row>
    <row r="4" spans="1:1" x14ac:dyDescent="0.25">
      <c r="A4" s="16" t="s">
        <v>47</v>
      </c>
    </row>
    <row r="5" spans="1:1" x14ac:dyDescent="0.25">
      <c r="A5" t="s">
        <v>48</v>
      </c>
    </row>
    <row r="6" spans="1:1" x14ac:dyDescent="0.25">
      <c r="A6" t="s">
        <v>49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FG 2025 Phillies Hitters</vt:lpstr>
      <vt:lpstr>Core Hitters PA&gt;=100</vt:lpstr>
      <vt:lpstr>README + Insights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fletcher</cp:lastModifiedBy>
  <cp:lastPrinted>2026-05-21T18:02:59Z</cp:lastPrinted>
  <dcterms:created xsi:type="dcterms:W3CDTF">2026-05-21T17:59:09Z</dcterms:created>
  <dcterms:modified xsi:type="dcterms:W3CDTF">2026-05-21T18:03:31Z</dcterms:modified>
</cp:coreProperties>
</file>